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개발견적서" sheetId="1" state="visible" r:id="rId1"/>
  </sheets>
  <definedNames>
    <definedName name="NamedRange1">'개발견적서'!$L$11:$N$35</definedName>
    <definedName name="NamedRange2">'개발견적서'!$G$37:$P$39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6">
    <font>
      <name val="Arial"/>
      <color rgb="FF000000"/>
      <sz val="10"/>
    </font>
    <font/>
    <font>
      <name val="Noto Sans KR"/>
      <sz val="20"/>
    </font>
    <font>
      <sz val="11"/>
    </font>
    <font>
      <name val="Noto Sans KR"/>
    </font>
    <font>
      <name val="Noto Sans KR"/>
      <b val="1"/>
      <sz val="20"/>
    </font>
  </fonts>
  <fills count="3">
    <fill>
      <patternFill/>
    </fill>
    <fill>
      <patternFill patternType="lightGray"/>
    </fill>
    <fill>
      <patternFill patternType="solid">
        <fgColor rgb="FFF3F3F3"/>
        <bgColor rgb="FFF3F3F3"/>
      </patternFill>
    </fill>
  </fills>
  <borders count="41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98">
    <xf numFmtId="0" fontId="0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center" vertical="bottom" wrapText="1"/>
    </xf>
    <xf numFmtId="0" fontId="1" fillId="0" borderId="0" applyAlignment="1" pivotButton="0" quotePrefix="0" xfId="0">
      <alignment horizontal="center" vertical="bottom" wrapText="1"/>
    </xf>
    <xf numFmtId="0" fontId="2" fillId="0" borderId="0" applyAlignment="1" pivotButton="0" quotePrefix="0" xfId="0">
      <alignment horizontal="center" vertical="bottom" wrapText="1"/>
    </xf>
    <xf numFmtId="0" fontId="3" fillId="0" borderId="0" applyAlignment="1" pivotButton="0" quotePrefix="0" xfId="0">
      <alignment horizontal="center" vertical="bottom" wrapText="1"/>
    </xf>
    <xf numFmtId="0" fontId="3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3" fillId="0" borderId="2" applyAlignment="1" pivotButton="0" quotePrefix="0" xfId="0">
      <alignment horizontal="center" vertical="bottom" wrapText="1"/>
    </xf>
    <xf numFmtId="0" fontId="3" fillId="0" borderId="3" applyAlignment="1" pivotButton="0" quotePrefix="0" xfId="0">
      <alignment wrapText="1"/>
    </xf>
    <xf numFmtId="0" fontId="3" fillId="0" borderId="4" applyAlignment="1" pivotButton="0" quotePrefix="0" xfId="0">
      <alignment wrapText="1"/>
    </xf>
    <xf numFmtId="0" fontId="3" fillId="0" borderId="3" applyAlignment="1" pivotButton="0" quotePrefix="0" xfId="0">
      <alignment vertical="center" wrapText="1"/>
    </xf>
    <xf numFmtId="0" fontId="1" fillId="0" borderId="4" applyAlignment="1" pivotButton="0" quotePrefix="0" xfId="0">
      <alignment wrapText="1"/>
    </xf>
    <xf numFmtId="0" fontId="3" fillId="0" borderId="5" applyAlignment="1" pivotButton="0" quotePrefix="0" xfId="0">
      <alignment horizontal="center" vertical="bottom" wrapText="1"/>
    </xf>
    <xf numFmtId="0" fontId="1" fillId="0" borderId="6" applyAlignment="1" pivotButton="0" quotePrefix="0" xfId="0">
      <alignment wrapText="1"/>
    </xf>
    <xf numFmtId="0" fontId="1" fillId="0" borderId="7" applyAlignment="1" pivotButton="0" quotePrefix="0" xfId="0">
      <alignment wrapText="1"/>
    </xf>
    <xf numFmtId="0" fontId="3" fillId="0" borderId="5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3" fillId="0" borderId="8" applyAlignment="1" pivotButton="0" quotePrefix="0" xfId="0">
      <alignment horizontal="left" vertical="top" wrapText="1"/>
    </xf>
    <xf numFmtId="0" fontId="1" fillId="0" borderId="9" applyAlignment="1" pivotButton="0" quotePrefix="0" xfId="0">
      <alignment wrapText="1"/>
    </xf>
    <xf numFmtId="0" fontId="3" fillId="0" borderId="5" applyAlignment="1" pivotButton="0" quotePrefix="0" xfId="0">
      <alignment horizontal="center" vertical="center" wrapText="1"/>
    </xf>
    <xf numFmtId="0" fontId="1" fillId="0" borderId="8" applyAlignment="1" pivotButton="0" quotePrefix="0" xfId="0">
      <alignment wrapText="1"/>
    </xf>
    <xf numFmtId="0" fontId="3" fillId="0" borderId="10" applyAlignment="1" pivotButton="0" quotePrefix="0" xfId="0">
      <alignment horizontal="center" vertical="bottom" wrapText="1"/>
    </xf>
    <xf numFmtId="0" fontId="3" fillId="0" borderId="11" applyAlignment="1" pivotButton="0" quotePrefix="0" xfId="0">
      <alignment horizontal="center" vertical="bottom" wrapText="1"/>
    </xf>
    <xf numFmtId="0" fontId="3" fillId="0" borderId="12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1" fillId="0" borderId="12" applyAlignment="1" pivotButton="0" quotePrefix="0" xfId="0">
      <alignment wrapText="1"/>
    </xf>
    <xf numFmtId="0" fontId="1" fillId="0" borderId="1" applyAlignment="1" pivotButton="0" quotePrefix="0" xfId="0">
      <alignment horizontal="center" vertical="bottom" wrapText="1"/>
    </xf>
    <xf numFmtId="0" fontId="4" fillId="0" borderId="10" applyAlignment="1" pivotButton="0" quotePrefix="0" xfId="0">
      <alignment horizontal="center" vertical="bottom" wrapText="1"/>
    </xf>
    <xf numFmtId="0" fontId="4" fillId="0" borderId="10" applyAlignment="1" pivotButton="0" quotePrefix="0" xfId="0">
      <alignment horizontal="center" vertical="bottom" wrapText="1"/>
    </xf>
    <xf numFmtId="0" fontId="4" fillId="0" borderId="5" applyAlignment="1" pivotButton="0" quotePrefix="0" xfId="0">
      <alignment horizontal="center" vertical="bottom" wrapText="1"/>
    </xf>
    <xf numFmtId="0" fontId="4" fillId="0" borderId="5" applyAlignment="1" pivotButton="0" quotePrefix="0" xfId="0">
      <alignment horizontal="center" vertical="bottom" wrapText="1"/>
    </xf>
    <xf numFmtId="0" fontId="4" fillId="2" borderId="5" applyAlignment="1" pivotButton="0" quotePrefix="0" xfId="0">
      <alignment horizontal="left" vertical="bottom" wrapText="1"/>
    </xf>
    <xf numFmtId="0" fontId="4" fillId="0" borderId="10" applyAlignment="1" pivotButton="0" quotePrefix="0" xfId="0">
      <alignment wrapText="1"/>
    </xf>
    <xf numFmtId="0" fontId="4" fillId="0" borderId="5" applyAlignment="1" pivotButton="0" quotePrefix="0" xfId="0">
      <alignment wrapText="1"/>
    </xf>
    <xf numFmtId="164" fontId="4" fillId="0" borderId="2" applyAlignment="1" pivotButton="0" quotePrefix="0" xfId="0">
      <alignment horizontal="right" vertical="center" wrapText="1"/>
    </xf>
    <xf numFmtId="0" fontId="1" fillId="0" borderId="3" applyAlignment="1" pivotButton="0" quotePrefix="0" xfId="0">
      <alignment wrapText="1"/>
    </xf>
    <xf numFmtId="0" fontId="4" fillId="0" borderId="2" applyAlignment="1" pivotButton="0" quotePrefix="0" xfId="0">
      <alignment vertical="center" wrapText="1"/>
    </xf>
    <xf numFmtId="0" fontId="4" fillId="0" borderId="13" applyAlignment="1" pivotButton="0" quotePrefix="0" xfId="0">
      <alignment vertical="center" wrapText="1"/>
    </xf>
    <xf numFmtId="0" fontId="1" fillId="0" borderId="0" applyAlignment="1" pivotButton="0" quotePrefix="0" xfId="0">
      <alignment wrapText="1"/>
    </xf>
    <xf numFmtId="0" fontId="1" fillId="0" borderId="14" applyAlignment="1" pivotButton="0" quotePrefix="0" xfId="0">
      <alignment wrapText="1"/>
    </xf>
    <xf numFmtId="0" fontId="1" fillId="0" borderId="15" applyAlignment="1" pivotButton="0" quotePrefix="0" xfId="0">
      <alignment wrapText="1"/>
    </xf>
    <xf numFmtId="0" fontId="4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wrapText="1"/>
    </xf>
    <xf numFmtId="0" fontId="4" fillId="0" borderId="10" applyAlignment="1" pivotButton="0" quotePrefix="0" xfId="0">
      <alignment wrapText="1"/>
    </xf>
    <xf numFmtId="0" fontId="4" fillId="0" borderId="5" applyAlignment="1" pivotButton="0" quotePrefix="0" xfId="0">
      <alignment wrapText="1"/>
    </xf>
    <xf numFmtId="164" fontId="4" fillId="0" borderId="5" applyAlignment="1" pivotButton="0" quotePrefix="0" xfId="0">
      <alignment horizontal="right" vertical="bottom" wrapText="1"/>
    </xf>
    <xf numFmtId="0" fontId="1" fillId="0" borderId="5" applyAlignment="1" pivotButton="0" quotePrefix="0" xfId="0">
      <alignment horizontal="center" vertical="bottom" wrapText="1"/>
    </xf>
    <xf numFmtId="0" fontId="1" fillId="0" borderId="5" applyAlignment="1" pivotButton="0" quotePrefix="0" xfId="0">
      <alignment horizontal="center" vertical="bottom" wrapText="1"/>
    </xf>
    <xf numFmtId="164" fontId="1" fillId="0" borderId="5" applyAlignment="1" pivotButton="0" quotePrefix="0" xfId="0">
      <alignment wrapText="1"/>
    </xf>
    <xf numFmtId="164" fontId="1" fillId="0" borderId="0" applyAlignment="1" pivotButton="0" quotePrefix="0" xfId="0">
      <alignment wrapText="1"/>
    </xf>
    <xf numFmtId="164" fontId="1" fillId="0" borderId="5" applyAlignment="1" pivotButton="0" quotePrefix="0" xfId="0">
      <alignment wrapText="1"/>
    </xf>
    <xf numFmtId="0" fontId="1" fillId="0" borderId="5" applyAlignment="1" pivotButton="0" quotePrefix="0" xfId="0">
      <alignment horizontal="center" vertical="bottom" wrapText="1"/>
    </xf>
    <xf numFmtId="0" fontId="0" fillId="0" borderId="0" pivotButton="0" quotePrefix="0" xfId="0"/>
    <xf numFmtId="0" fontId="3" fillId="0" borderId="7" applyAlignment="1" pivotButton="0" quotePrefix="0" xfId="0">
      <alignment vertical="center" wrapText="1"/>
    </xf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3" fillId="0" borderId="10" applyAlignment="1" pivotButton="0" quotePrefix="0" xfId="0">
      <alignment wrapText="1"/>
    </xf>
    <xf numFmtId="0" fontId="3" fillId="0" borderId="14" applyAlignment="1" pivotButton="0" quotePrefix="0" xfId="0">
      <alignment horizontal="left" vertical="top" wrapText="1"/>
    </xf>
    <xf numFmtId="0" fontId="0" fillId="0" borderId="9" pivotButton="0" quotePrefix="0" xfId="0"/>
    <xf numFmtId="0" fontId="3" fillId="0" borderId="10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" pivotButton="0" quotePrefix="0" xfId="0"/>
    <xf numFmtId="0" fontId="0" fillId="0" borderId="12" pivotButton="0" quotePrefix="0" xfId="0"/>
    <xf numFmtId="0" fontId="1" fillId="0" borderId="12" applyAlignment="1" pivotButton="0" quotePrefix="0" xfId="0">
      <alignment horizontal="center" vertical="bottom" wrapText="1"/>
    </xf>
    <xf numFmtId="0" fontId="4" fillId="2" borderId="10" applyAlignment="1" pivotButton="0" quotePrefix="0" xfId="0">
      <alignment horizontal="left" vertical="bottom" wrapText="1"/>
    </xf>
    <xf numFmtId="164" fontId="4" fillId="0" borderId="10" applyAlignment="1" pivotButton="0" quotePrefix="0" xfId="0">
      <alignment horizontal="right" vertical="center" wrapText="1"/>
    </xf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164" fontId="4" fillId="0" borderId="10" applyAlignment="1" pivotButton="0" quotePrefix="0" xfId="0">
      <alignment horizontal="right" vertical="bottom" wrapText="1"/>
    </xf>
    <xf numFmtId="0" fontId="1" fillId="0" borderId="10" applyAlignment="1" pivotButton="0" quotePrefix="0" xfId="0">
      <alignment horizontal="center" vertical="bottom" wrapText="1"/>
    </xf>
    <xf numFmtId="164" fontId="1" fillId="0" borderId="10" applyAlignment="1" pivotButton="0" quotePrefix="0" xfId="0">
      <alignment wrapText="1"/>
    </xf>
    <xf numFmtId="0" fontId="1" fillId="0" borderId="1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7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5" fillId="0" borderId="33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5" fillId="0" borderId="10" applyAlignment="1" pivotButton="0" quotePrefix="0" xfId="0">
      <alignment horizontal="center" vertical="center"/>
    </xf>
  </cellXfs>
  <cellStyles count="1">
    <cellStyle name="Normal" xfId="0" builtinId="0"/>
  </cellStyles>
  <dxfs count="2">
    <dxf>
      <font>
        <color rgb="FFFFFFFF"/>
      </font>
      <fill>
        <patternFill/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Q39"/>
  <sheetViews>
    <sheetView showGridLines="0" workbookViewId="0">
      <selection activeCell="A1" sqref="A1"/>
    </sheetView>
  </sheetViews>
  <sheetFormatPr baseColWidth="8" defaultColWidth="15.13" defaultRowHeight="15.75" customHeight="1"/>
  <cols>
    <col hidden="1" width="4.25" customWidth="1" style="52" min="1" max="2"/>
    <col width="13.5" customWidth="1" style="52" min="3" max="3"/>
    <col width="7.63" customWidth="1" style="52" min="4" max="4"/>
    <col width="6.5" customWidth="1" style="52" min="5" max="5"/>
    <col width="8.25" customWidth="1" style="52" min="6" max="6"/>
    <col width="1.38" customWidth="1" style="52" min="7" max="7"/>
    <col width="3" customWidth="1" style="52" min="8" max="8"/>
    <col width="6.38" customWidth="1" style="52" min="9" max="9"/>
    <col width="5.38" customWidth="1" style="52" min="10" max="10"/>
    <col width="4.75" customWidth="1" style="52" min="11" max="11"/>
    <col width="4.25" customWidth="1" style="52" min="12" max="12"/>
    <col width="7.38" customWidth="1" style="52" min="13" max="13"/>
    <col width="1.25" customWidth="1" style="52" min="14" max="14"/>
    <col width="3.13" customWidth="1" style="52" min="15" max="15"/>
    <col width="9.25" customWidth="1" style="52" min="16" max="16"/>
    <col width="3.5" customWidth="1" style="52" min="17" max="17"/>
  </cols>
  <sheetData>
    <row r="1">
      <c r="A1" s="2" t="n"/>
      <c r="B1" s="97" t="inlineStr">
        <is>
          <t>개발 견 적 서 - KUP</t>
        </is>
      </c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54" t="n"/>
    </row>
    <row r="2">
      <c r="A2" s="2" t="n"/>
      <c r="B2" s="61" t="n"/>
      <c r="P2" s="59" t="n"/>
    </row>
    <row r="3">
      <c r="A3" s="4" t="n"/>
      <c r="B3" s="70" t="n"/>
      <c r="C3" s="62" t="n"/>
      <c r="D3" s="62" t="n"/>
      <c r="E3" s="62" t="n"/>
      <c r="F3" s="62" t="n"/>
      <c r="G3" s="62" t="n"/>
      <c r="H3" s="62" t="n"/>
      <c r="I3" s="62" t="n"/>
      <c r="J3" s="62" t="n"/>
      <c r="K3" s="62" t="n"/>
      <c r="L3" s="62" t="n"/>
      <c r="M3" s="62" t="n"/>
      <c r="N3" s="62" t="n"/>
      <c r="O3" s="62" t="n"/>
      <c r="P3" s="63" t="n"/>
      <c r="Q3" s="16" t="n"/>
    </row>
    <row r="4">
      <c r="A4" s="4" t="n"/>
      <c r="B4" s="76" t="inlineStr">
        <is>
          <t xml:space="preserve"> 견적일자 : 2026.1.5
 고객 : ㈜케이투어스토리</t>
        </is>
      </c>
      <c r="C4" s="67" t="n"/>
      <c r="D4" s="67" t="n"/>
      <c r="E4" s="54" t="n"/>
      <c r="F4" s="53" t="inlineStr">
        <is>
          <t>공급자</t>
        </is>
      </c>
      <c r="G4" s="54" t="n"/>
      <c r="H4" s="21" t="inlineStr">
        <is>
          <t>사업자번호</t>
        </is>
      </c>
      <c r="I4" s="55" t="n"/>
      <c r="J4" s="56" t="n"/>
      <c r="K4" s="57" t="inlineStr">
        <is>
          <t>111-87-03249</t>
        </is>
      </c>
      <c r="L4" s="55" t="n"/>
      <c r="M4" s="55" t="n"/>
      <c r="N4" s="55" t="n"/>
      <c r="O4" s="55" t="n"/>
      <c r="P4" s="56" t="n"/>
      <c r="Q4" s="16" t="n"/>
    </row>
    <row r="5">
      <c r="A5" s="4" t="n"/>
      <c r="B5" s="61" t="n"/>
      <c r="E5" s="59" t="n"/>
      <c r="G5" s="59" t="n"/>
      <c r="H5" s="60" t="inlineStr">
        <is>
          <t>사업장소재지</t>
        </is>
      </c>
      <c r="I5" s="55" t="n"/>
      <c r="J5" s="56" t="n"/>
      <c r="K5" s="57" t="inlineStr">
        <is>
          <t>서울시 강서구 마곡동 800-3
우성에스비2차 1005호</t>
        </is>
      </c>
      <c r="L5" s="55" t="n"/>
      <c r="M5" s="55" t="n"/>
      <c r="N5" s="55" t="n"/>
      <c r="O5" s="55" t="n"/>
      <c r="P5" s="56" t="n"/>
      <c r="Q5" s="16" t="n"/>
    </row>
    <row r="6">
      <c r="A6" s="4" t="n"/>
      <c r="B6" s="61" t="n"/>
      <c r="E6" s="59" t="n"/>
      <c r="G6" s="59" t="n"/>
      <c r="H6" s="21" t="inlineStr">
        <is>
          <t>상      호</t>
        </is>
      </c>
      <c r="I6" s="55" t="n"/>
      <c r="J6" s="56" t="n"/>
      <c r="K6" s="57" t="inlineStr">
        <is>
          <t>(주)비브라이트코드</t>
        </is>
      </c>
      <c r="L6" s="55" t="n"/>
      <c r="M6" s="55" t="n"/>
      <c r="N6" s="55" t="n"/>
      <c r="O6" s="55" t="n"/>
      <c r="P6" s="56" t="n"/>
      <c r="Q6" s="16" t="n"/>
    </row>
    <row r="7">
      <c r="A7" s="4" t="n"/>
      <c r="B7" s="61" t="n"/>
      <c r="E7" s="59" t="n"/>
      <c r="G7" s="59" t="n"/>
      <c r="H7" s="21" t="inlineStr">
        <is>
          <t>업     태</t>
        </is>
      </c>
      <c r="I7" s="55" t="n"/>
      <c r="J7" s="56" t="n"/>
      <c r="K7" s="57" t="inlineStr">
        <is>
          <t>정보통신업</t>
        </is>
      </c>
      <c r="L7" s="56" t="n"/>
      <c r="M7" s="21" t="inlineStr">
        <is>
          <t>종  목</t>
        </is>
      </c>
      <c r="N7" s="57" t="inlineStr">
        <is>
          <t>응용소프트웨어개발및 공급업</t>
        </is>
      </c>
      <c r="O7" s="55" t="n"/>
      <c r="P7" s="56" t="n"/>
      <c r="Q7" s="16" t="n"/>
    </row>
    <row r="8">
      <c r="A8" s="4" t="n"/>
      <c r="B8" s="70" t="n"/>
      <c r="C8" s="62" t="n"/>
      <c r="D8" s="62" t="n"/>
      <c r="E8" s="63" t="n"/>
      <c r="F8" s="62" t="n"/>
      <c r="G8" s="63" t="n"/>
      <c r="H8" s="21" t="inlineStr">
        <is>
          <t>대표자</t>
        </is>
      </c>
      <c r="I8" s="55" t="n"/>
      <c r="J8" s="56" t="n"/>
      <c r="K8" s="57" t="inlineStr">
        <is>
          <t>김대환</t>
        </is>
      </c>
      <c r="L8" s="56" t="n"/>
      <c r="M8" s="21" t="inlineStr">
        <is>
          <t>전화번호</t>
        </is>
      </c>
      <c r="N8" s="57" t="inlineStr">
        <is>
          <t>010-6622-5361</t>
        </is>
      </c>
      <c r="O8" s="55" t="n"/>
      <c r="P8" s="56" t="n"/>
      <c r="Q8" s="16" t="n"/>
    </row>
    <row r="9" ht="2.25" customHeight="1" s="52">
      <c r="A9" s="2" t="n"/>
      <c r="B9" s="64" t="n"/>
      <c r="C9" s="62" t="n"/>
      <c r="D9" s="62" t="n"/>
      <c r="E9" s="62" t="n"/>
      <c r="F9" s="62" t="n"/>
      <c r="G9" s="62" t="n"/>
      <c r="H9" s="62" t="n"/>
      <c r="I9" s="62" t="n"/>
      <c r="J9" s="62" t="n"/>
      <c r="K9" s="62" t="n"/>
      <c r="L9" s="62" t="n"/>
      <c r="M9" s="62" t="n"/>
      <c r="N9" s="62" t="n"/>
      <c r="O9" s="62" t="n"/>
      <c r="P9" s="63" t="n"/>
      <c r="Q9" s="2" t="n"/>
    </row>
    <row r="10">
      <c r="A10" s="2" t="n"/>
      <c r="B10" s="28" t="inlineStr">
        <is>
          <t>구분</t>
        </is>
      </c>
      <c r="C10" s="28" t="inlineStr">
        <is>
          <t>분류</t>
        </is>
      </c>
      <c r="D10" s="28" t="inlineStr">
        <is>
          <t>항목</t>
        </is>
      </c>
      <c r="E10" s="55" t="n"/>
      <c r="F10" s="55" t="n"/>
      <c r="G10" s="55" t="n"/>
      <c r="H10" s="55" t="n"/>
      <c r="I10" s="56" t="n"/>
      <c r="J10" s="28" t="inlineStr">
        <is>
          <t>기간</t>
        </is>
      </c>
      <c r="K10" s="56" t="n"/>
      <c r="L10" s="28" t="inlineStr">
        <is>
          <t>공급가액(월)</t>
        </is>
      </c>
      <c r="M10" s="55" t="n"/>
      <c r="N10" s="56" t="n"/>
      <c r="O10" s="28" t="inlineStr">
        <is>
          <t>비고</t>
        </is>
      </c>
      <c r="P10" s="56" t="n"/>
      <c r="Q10" s="2" t="n"/>
    </row>
    <row r="11">
      <c r="A11" s="2" t="n"/>
      <c r="B11" s="65" t="inlineStr">
        <is>
          <t>KUP - Express</t>
        </is>
      </c>
      <c r="C11" s="55" t="n"/>
      <c r="D11" s="55" t="n"/>
      <c r="E11" s="55" t="n"/>
      <c r="F11" s="55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55" t="n"/>
      <c r="P11" s="56" t="n"/>
    </row>
    <row r="12">
      <c r="A12" s="2" t="n"/>
      <c r="B12" s="28" t="n">
        <v>1</v>
      </c>
      <c r="C12" s="43" t="inlineStr">
        <is>
          <t>공통</t>
        </is>
      </c>
      <c r="D12" s="43" t="inlineStr">
        <is>
          <t>전체 시스템 공통 아키텍쳐 설정(현재는 FE만)</t>
        </is>
      </c>
      <c r="E12" s="55" t="n"/>
      <c r="F12" s="55" t="n"/>
      <c r="G12" s="55" t="n"/>
      <c r="H12" s="55" t="n"/>
      <c r="I12" s="56" t="n"/>
      <c r="J12" s="66" t="inlineStr">
        <is>
          <t>01.06~2.31</t>
        </is>
      </c>
      <c r="K12" s="54" t="n"/>
      <c r="L12" s="66">
        <f>8000000 + 5000000</f>
        <v/>
      </c>
      <c r="M12" s="67" t="n"/>
      <c r="N12" s="54" t="n"/>
      <c r="O12" s="41" t="inlineStr">
        <is>
          <t>고급개발자:
8000000
중급개발자:
5000000</t>
        </is>
      </c>
      <c r="P12" s="54" t="n"/>
    </row>
    <row r="13">
      <c r="A13" s="2" t="n"/>
      <c r="B13" s="28" t="n">
        <v>2</v>
      </c>
      <c r="C13" s="41" t="inlineStr">
        <is>
          <t>사용자 웹앱 개발</t>
        </is>
      </c>
      <c r="D13" s="38" t="inlineStr">
        <is>
          <t>사용자 웹 프로세스 개발</t>
        </is>
      </c>
      <c r="J13" s="61" t="n"/>
      <c r="K13" s="59" t="n"/>
      <c r="L13" s="61" t="n"/>
      <c r="N13" s="59" t="n"/>
      <c r="O13" s="61" t="n"/>
      <c r="P13" s="59" t="n"/>
    </row>
    <row r="14">
      <c r="A14" s="2" t="n"/>
      <c r="B14" s="28" t="n">
        <v>3</v>
      </c>
      <c r="C14" s="68" t="n"/>
      <c r="D14" s="43" t="inlineStr">
        <is>
          <t>API 연동 및 디버깅 환경 구축</t>
        </is>
      </c>
      <c r="E14" s="55" t="n"/>
      <c r="F14" s="55" t="n"/>
      <c r="G14" s="55" t="n"/>
      <c r="H14" s="55" t="n"/>
      <c r="I14" s="56" t="n"/>
      <c r="J14" s="61" t="n"/>
      <c r="K14" s="59" t="n"/>
      <c r="L14" s="61" t="n"/>
      <c r="N14" s="59" t="n"/>
      <c r="O14" s="61" t="n"/>
      <c r="P14" s="59" t="n"/>
    </row>
    <row r="15">
      <c r="A15" s="2" t="n"/>
      <c r="B15" s="28" t="n">
        <v>4</v>
      </c>
      <c r="C15" s="68" t="n"/>
      <c r="D15" s="43" t="inlineStr">
        <is>
          <t>다양한 트래킹 연동 지원 및 모니터링</t>
        </is>
      </c>
      <c r="E15" s="55" t="n"/>
      <c r="F15" s="55" t="n"/>
      <c r="G15" s="55" t="n"/>
      <c r="H15" s="55" t="n"/>
      <c r="I15" s="56" t="n"/>
      <c r="J15" s="61" t="n"/>
      <c r="K15" s="59" t="n"/>
      <c r="L15" s="61" t="n"/>
      <c r="N15" s="59" t="n"/>
      <c r="O15" s="61" t="n"/>
      <c r="P15" s="59" t="n"/>
    </row>
    <row r="16">
      <c r="A16" s="2" t="n"/>
      <c r="B16" s="28" t="n">
        <v>5</v>
      </c>
      <c r="C16" s="69" t="n"/>
      <c r="D16" s="43" t="inlineStr">
        <is>
          <t>(개발|운영)배포 환경 구축 및 배포</t>
        </is>
      </c>
      <c r="E16" s="55" t="n"/>
      <c r="F16" s="55" t="n"/>
      <c r="G16" s="55" t="n"/>
      <c r="H16" s="55" t="n"/>
      <c r="I16" s="56" t="n"/>
      <c r="J16" s="61" t="n"/>
      <c r="K16" s="59" t="n"/>
      <c r="L16" s="61" t="n"/>
      <c r="N16" s="59" t="n"/>
      <c r="O16" s="61" t="n"/>
      <c r="P16" s="59" t="n"/>
    </row>
    <row r="17">
      <c r="A17" s="2" t="n"/>
      <c r="B17" s="28" t="n">
        <v>6</v>
      </c>
      <c r="C17" s="41" t="inlineStr">
        <is>
          <t>라이더 웹앱 개발</t>
        </is>
      </c>
      <c r="D17" s="43" t="inlineStr">
        <is>
          <t>라이더용 웹앱 UI 프로토타입 개발(실제 개발) 및 피드백</t>
        </is>
      </c>
      <c r="E17" s="55" t="n"/>
      <c r="F17" s="55" t="n"/>
      <c r="G17" s="55" t="n"/>
      <c r="H17" s="55" t="n"/>
      <c r="I17" s="56" t="n"/>
      <c r="J17" s="61" t="n"/>
      <c r="K17" s="59" t="n"/>
      <c r="L17" s="61" t="n"/>
      <c r="N17" s="59" t="n"/>
      <c r="O17" s="61" t="n"/>
      <c r="P17" s="59" t="n"/>
    </row>
    <row r="18">
      <c r="A18" s="2" t="n"/>
      <c r="B18" s="28" t="n">
        <v>7</v>
      </c>
      <c r="C18" s="68" t="n"/>
      <c r="D18" s="43" t="inlineStr">
        <is>
          <t>API 연동 및 디버깅 환경 구축</t>
        </is>
      </c>
      <c r="E18" s="55" t="n"/>
      <c r="F18" s="55" t="n"/>
      <c r="G18" s="55" t="n"/>
      <c r="H18" s="55" t="n"/>
      <c r="I18" s="56" t="n"/>
      <c r="J18" s="61" t="n"/>
      <c r="K18" s="59" t="n"/>
      <c r="L18" s="61" t="n"/>
      <c r="N18" s="59" t="n"/>
      <c r="O18" s="61" t="n"/>
      <c r="P18" s="59" t="n"/>
    </row>
    <row r="19">
      <c r="A19" s="2" t="n"/>
      <c r="B19" s="28" t="n">
        <v>8</v>
      </c>
      <c r="C19" s="68" t="n"/>
      <c r="D19" s="43" t="inlineStr">
        <is>
          <t>지도 연동</t>
        </is>
      </c>
      <c r="E19" s="55" t="n"/>
      <c r="F19" s="55" t="n"/>
      <c r="G19" s="55" t="n"/>
      <c r="H19" s="55" t="n"/>
      <c r="I19" s="56" t="n"/>
      <c r="J19" s="61" t="n"/>
      <c r="K19" s="59" t="n"/>
      <c r="L19" s="61" t="n"/>
      <c r="N19" s="59" t="n"/>
      <c r="O19" s="61" t="n"/>
      <c r="P19" s="59" t="n"/>
    </row>
    <row r="20">
      <c r="A20" s="2" t="n"/>
      <c r="B20" s="28" t="n">
        <v>9</v>
      </c>
      <c r="C20" s="68" t="n"/>
      <c r="D20" s="43" t="inlineStr">
        <is>
          <t>서비스 운영 지원 및 유지보수</t>
        </is>
      </c>
      <c r="E20" s="55" t="n"/>
      <c r="F20" s="55" t="n"/>
      <c r="G20" s="55" t="n"/>
      <c r="H20" s="55" t="n"/>
      <c r="I20" s="56" t="n"/>
      <c r="J20" s="61" t="n"/>
      <c r="K20" s="59" t="n"/>
      <c r="L20" s="61" t="n"/>
      <c r="N20" s="59" t="n"/>
      <c r="O20" s="61" t="n"/>
      <c r="P20" s="59" t="n"/>
    </row>
    <row r="21">
      <c r="A21" s="2" t="n"/>
      <c r="B21" s="28" t="n">
        <v>10</v>
      </c>
      <c r="C21" s="69" t="n"/>
      <c r="D21" s="38" t="inlineStr">
        <is>
          <t>(개발|운영)배포 환경 구축 및 배포</t>
        </is>
      </c>
      <c r="J21" s="61" t="n"/>
      <c r="K21" s="59" t="n"/>
      <c r="L21" s="61" t="n"/>
      <c r="N21" s="59" t="n"/>
      <c r="O21" s="61" t="n"/>
      <c r="P21" s="59" t="n"/>
    </row>
    <row r="22">
      <c r="A22" s="2" t="n"/>
      <c r="B22" s="28" t="n"/>
      <c r="C22" s="41" t="n"/>
      <c r="D22" s="43" t="n"/>
      <c r="E22" s="55" t="n"/>
      <c r="F22" s="55" t="n"/>
      <c r="G22" s="55" t="n"/>
      <c r="H22" s="55" t="n"/>
      <c r="I22" s="56" t="n"/>
      <c r="J22" s="61" t="n"/>
      <c r="K22" s="59" t="n"/>
      <c r="L22" s="61" t="n"/>
      <c r="N22" s="59" t="n"/>
      <c r="O22" s="61" t="n"/>
      <c r="P22" s="59" t="n"/>
    </row>
    <row r="23">
      <c r="A23" s="2" t="n"/>
      <c r="B23" s="28" t="n"/>
      <c r="C23" s="68" t="n"/>
      <c r="D23" s="43" t="n"/>
      <c r="E23" s="55" t="n"/>
      <c r="F23" s="55" t="n"/>
      <c r="G23" s="55" t="n"/>
      <c r="H23" s="55" t="n"/>
      <c r="I23" s="56" t="n"/>
      <c r="J23" s="61" t="n"/>
      <c r="K23" s="59" t="n"/>
      <c r="L23" s="61" t="n"/>
      <c r="N23" s="59" t="n"/>
      <c r="O23" s="61" t="n"/>
      <c r="P23" s="59" t="n"/>
    </row>
    <row r="24">
      <c r="A24" s="2" t="n"/>
      <c r="B24" s="28" t="n"/>
      <c r="C24" s="69" t="n"/>
      <c r="D24" s="38" t="n"/>
      <c r="J24" s="61" t="n"/>
      <c r="K24" s="59" t="n"/>
      <c r="L24" s="61" t="n"/>
      <c r="N24" s="59" t="n"/>
      <c r="O24" s="61" t="n"/>
      <c r="P24" s="59" t="n"/>
    </row>
    <row r="25">
      <c r="A25" s="2" t="n"/>
      <c r="B25" s="28" t="n">
        <v>14</v>
      </c>
      <c r="C25" s="41" t="inlineStr">
        <is>
          <t>유지보수</t>
        </is>
      </c>
      <c r="D25" s="43" t="inlineStr">
        <is>
          <t>전체 시스템에 대한 기능 추가, 개선 및 유지보수</t>
        </is>
      </c>
      <c r="E25" s="55" t="n"/>
      <c r="F25" s="55" t="n"/>
      <c r="G25" s="55" t="n"/>
      <c r="H25" s="55" t="n"/>
      <c r="I25" s="56" t="n"/>
      <c r="J25" s="61" t="n"/>
      <c r="K25" s="59" t="n"/>
      <c r="L25" s="61" t="n"/>
      <c r="N25" s="59" t="n"/>
      <c r="O25" s="61" t="n"/>
      <c r="P25" s="59" t="n"/>
    </row>
    <row r="26">
      <c r="A26" s="2" t="n"/>
      <c r="B26" s="28" t="n">
        <v>15</v>
      </c>
      <c r="C26" s="43" t="inlineStr">
        <is>
          <t>공통</t>
        </is>
      </c>
      <c r="D26" s="43" t="inlineStr">
        <is>
          <t>생산성 높은 UI 시스템 구축</t>
        </is>
      </c>
      <c r="E26" s="55" t="n"/>
      <c r="F26" s="55" t="n"/>
      <c r="G26" s="55" t="n"/>
      <c r="H26" s="55" t="n"/>
      <c r="I26" s="56" t="n"/>
      <c r="J26" s="70" t="n"/>
      <c r="K26" s="63" t="n"/>
      <c r="L26" s="70" t="n"/>
      <c r="M26" s="62" t="n"/>
      <c r="N26" s="63" t="n"/>
      <c r="O26" s="70" t="n"/>
      <c r="P26" s="63" t="n"/>
    </row>
    <row r="27">
      <c r="A27" s="2" t="n"/>
      <c r="B27" s="28" t="n"/>
      <c r="C27" s="43" t="n"/>
      <c r="D27" s="43" t="n"/>
      <c r="E27" s="55" t="n"/>
      <c r="F27" s="55" t="n"/>
      <c r="G27" s="55" t="n"/>
      <c r="H27" s="55" t="n"/>
      <c r="I27" s="56" t="n"/>
      <c r="J27" s="71" t="n"/>
      <c r="K27" s="56" t="n"/>
      <c r="L27" s="71">
        <f>G27*J27</f>
        <v/>
      </c>
      <c r="M27" s="55" t="n"/>
      <c r="N27" s="56" t="n"/>
      <c r="O27" s="43" t="n"/>
      <c r="P27" s="56" t="n"/>
    </row>
    <row r="28">
      <c r="A28" s="2" t="n"/>
      <c r="B28" s="28" t="n"/>
      <c r="C28" s="43" t="n"/>
      <c r="D28" s="43" t="n"/>
      <c r="E28" s="55" t="n"/>
      <c r="F28" s="55" t="n"/>
      <c r="G28" s="55" t="n"/>
      <c r="H28" s="55" t="n"/>
      <c r="I28" s="56" t="n"/>
      <c r="J28" s="71" t="n"/>
      <c r="K28" s="56" t="n"/>
      <c r="L28" s="71">
        <f>G28*J28</f>
        <v/>
      </c>
      <c r="M28" s="55" t="n"/>
      <c r="N28" s="56" t="n"/>
      <c r="O28" s="43" t="n"/>
      <c r="P28" s="56" t="n"/>
    </row>
    <row r="29">
      <c r="A29" s="2" t="n"/>
      <c r="B29" s="28" t="n"/>
      <c r="C29" s="43" t="n"/>
      <c r="D29" s="43" t="n"/>
      <c r="E29" s="55" t="n"/>
      <c r="F29" s="55" t="n"/>
      <c r="G29" s="55" t="n"/>
      <c r="H29" s="55" t="n"/>
      <c r="I29" s="56" t="n"/>
      <c r="J29" s="71" t="n"/>
      <c r="K29" s="56" t="n"/>
      <c r="L29" s="71">
        <f>G29*J29</f>
        <v/>
      </c>
      <c r="M29" s="55" t="n"/>
      <c r="N29" s="56" t="n"/>
      <c r="O29" s="43" t="n"/>
      <c r="P29" s="56" t="n"/>
    </row>
    <row r="30">
      <c r="A30" s="2" t="n"/>
      <c r="B30" s="28" t="n"/>
      <c r="C30" s="43" t="n"/>
      <c r="D30" s="43" t="n"/>
      <c r="E30" s="55" t="n"/>
      <c r="F30" s="55" t="n"/>
      <c r="G30" s="55" t="n"/>
      <c r="H30" s="55" t="n"/>
      <c r="I30" s="56" t="n"/>
      <c r="J30" s="71" t="n"/>
      <c r="K30" s="56" t="n"/>
      <c r="L30" s="71">
        <f>G30*J30</f>
        <v/>
      </c>
      <c r="M30" s="55" t="n"/>
      <c r="N30" s="56" t="n"/>
      <c r="O30" s="43" t="n"/>
      <c r="P30" s="56" t="n"/>
    </row>
    <row r="31">
      <c r="A31" s="2" t="n"/>
      <c r="B31" s="28" t="n"/>
      <c r="C31" s="43" t="n"/>
      <c r="D31" s="43" t="n"/>
      <c r="E31" s="55" t="n"/>
      <c r="F31" s="55" t="n"/>
      <c r="G31" s="55" t="n"/>
      <c r="H31" s="55" t="n"/>
      <c r="I31" s="56" t="n"/>
      <c r="J31" s="71" t="n"/>
      <c r="K31" s="56" t="n"/>
      <c r="L31" s="71">
        <f>G31*J31</f>
        <v/>
      </c>
      <c r="M31" s="55" t="n"/>
      <c r="N31" s="56" t="n"/>
      <c r="O31" s="43" t="n"/>
      <c r="P31" s="56" t="n"/>
    </row>
    <row r="32">
      <c r="A32" s="2" t="n"/>
      <c r="B32" s="28" t="n"/>
      <c r="C32" s="43" t="n"/>
      <c r="D32" s="43" t="n"/>
      <c r="E32" s="55" t="n"/>
      <c r="F32" s="55" t="n"/>
      <c r="G32" s="55" t="n"/>
      <c r="H32" s="55" t="n"/>
      <c r="I32" s="56" t="n"/>
      <c r="J32" s="71" t="n"/>
      <c r="K32" s="56" t="n"/>
      <c r="L32" s="71">
        <f>G32*J32</f>
        <v/>
      </c>
      <c r="M32" s="55" t="n"/>
      <c r="N32" s="56" t="n"/>
      <c r="O32" s="43" t="n"/>
      <c r="P32" s="56" t="n"/>
    </row>
    <row r="33">
      <c r="A33" s="2" t="n"/>
      <c r="B33" s="28" t="n"/>
      <c r="C33" s="43" t="n"/>
      <c r="D33" s="43" t="n"/>
      <c r="E33" s="55" t="n"/>
      <c r="F33" s="55" t="n"/>
      <c r="G33" s="55" t="n"/>
      <c r="H33" s="55" t="n"/>
      <c r="I33" s="56" t="n"/>
      <c r="J33" s="71" t="n"/>
      <c r="K33" s="56" t="n"/>
      <c r="L33" s="71">
        <f>G33*J33</f>
        <v/>
      </c>
      <c r="M33" s="55" t="n"/>
      <c r="N33" s="56" t="n"/>
      <c r="O33" s="43" t="n"/>
      <c r="P33" s="56" t="n"/>
    </row>
    <row r="34">
      <c r="A34" s="2" t="n"/>
      <c r="B34" s="28" t="n"/>
      <c r="C34" s="43" t="n"/>
      <c r="D34" s="43" t="n"/>
      <c r="E34" s="55" t="n"/>
      <c r="F34" s="55" t="n"/>
      <c r="G34" s="55" t="n"/>
      <c r="H34" s="55" t="n"/>
      <c r="I34" s="56" t="n"/>
      <c r="J34" s="71" t="n"/>
      <c r="K34" s="56" t="n"/>
      <c r="L34" s="71">
        <f>G34*J34</f>
        <v/>
      </c>
      <c r="M34" s="55" t="n"/>
      <c r="N34" s="56" t="n"/>
      <c r="O34" s="43" t="n"/>
      <c r="P34" s="56" t="n"/>
    </row>
    <row r="35">
      <c r="A35" s="2" t="n"/>
      <c r="B35" s="28" t="n"/>
      <c r="C35" s="43" t="n"/>
      <c r="D35" s="43" t="n"/>
      <c r="E35" s="55" t="n"/>
      <c r="F35" s="55" t="n"/>
      <c r="G35" s="55" t="n"/>
      <c r="H35" s="55" t="n"/>
      <c r="I35" s="56" t="n"/>
      <c r="J35" s="71" t="n"/>
      <c r="K35" s="56" t="n"/>
      <c r="L35" s="71">
        <f>G35*J35</f>
        <v/>
      </c>
      <c r="M35" s="55" t="n"/>
      <c r="N35" s="56" t="n"/>
      <c r="O35" s="43" t="n"/>
      <c r="P35" s="56" t="n"/>
    </row>
    <row r="36" ht="58" customHeight="1" s="52">
      <c r="A36" s="2" t="n"/>
      <c r="B36" s="74" t="inlineStr">
        <is>
          <t>일정 / 유의사항
고객 안내 일정은 착수 후 3~4주이며, 내부 구현 완료 후 테스트, 프리뷰 제공, 피드백 반영, 최종 안정화까지 포함합니다. 카카오, 결제사, 외부 연동 서비스, 도메인 연결 과정에 따라 일부 일정은 조정될 수 있습니다.</t>
        </is>
      </c>
      <c r="C36" s="55" t="n"/>
      <c r="D36" s="55" t="n"/>
      <c r="E36" s="55" t="n"/>
      <c r="F36" s="55" t="n"/>
      <c r="G36" s="55" t="n"/>
      <c r="H36" s="55" t="n"/>
      <c r="I36" s="55" t="n"/>
      <c r="J36" s="55" t="n"/>
      <c r="K36" s="55" t="n"/>
      <c r="L36" s="55" t="n"/>
      <c r="M36" s="55" t="n"/>
      <c r="N36" s="55" t="n"/>
      <c r="O36" s="55" t="n"/>
      <c r="P36" s="56" t="n"/>
      <c r="Q36" s="2" t="n"/>
    </row>
    <row r="37">
      <c r="A37" s="2" t="n"/>
      <c r="B37" s="72" t="inlineStr">
        <is>
          <t>합계</t>
        </is>
      </c>
      <c r="C37" s="55" t="n"/>
      <c r="D37" s="55" t="n"/>
      <c r="E37" s="55" t="n"/>
      <c r="F37" s="56" t="n"/>
      <c r="G37" s="73" t="n">
        <v>0</v>
      </c>
      <c r="H37" s="55" t="n"/>
      <c r="I37" s="55" t="n"/>
      <c r="J37" s="55" t="n"/>
      <c r="K37" s="55" t="n"/>
      <c r="L37" s="55" t="n"/>
      <c r="M37" s="55" t="n"/>
      <c r="N37" s="55" t="n"/>
      <c r="O37" s="55" t="n"/>
      <c r="P37" s="56" t="n"/>
      <c r="Q37" s="49" t="n"/>
    </row>
    <row r="38">
      <c r="A38" s="2" t="n"/>
      <c r="B38" s="72" t="inlineStr">
        <is>
          <t>부가세</t>
        </is>
      </c>
      <c r="C38" s="55" t="n"/>
      <c r="D38" s="55" t="n"/>
      <c r="E38" s="55" t="n"/>
      <c r="F38" s="56" t="n"/>
      <c r="G38" s="73" t="n">
        <v>0</v>
      </c>
      <c r="H38" s="55" t="n"/>
      <c r="I38" s="55" t="n"/>
      <c r="J38" s="55" t="n"/>
      <c r="K38" s="55" t="n"/>
      <c r="L38" s="55" t="n"/>
      <c r="M38" s="55" t="n"/>
      <c r="N38" s="55" t="n"/>
      <c r="O38" s="55" t="n"/>
      <c r="P38" s="56" t="n"/>
      <c r="Q38" s="49" t="n"/>
    </row>
    <row r="39">
      <c r="A39" s="2" t="n"/>
      <c r="B39" s="72" t="inlineStr">
        <is>
          <t>총계(만원미만 절삭)</t>
        </is>
      </c>
      <c r="C39" s="55" t="n"/>
      <c r="D39" s="55" t="n"/>
      <c r="E39" s="55" t="n"/>
      <c r="F39" s="56" t="n"/>
      <c r="G39" s="73" t="n">
        <v>0</v>
      </c>
      <c r="H39" s="55" t="n"/>
      <c r="I39" s="55" t="n"/>
      <c r="J39" s="55" t="n"/>
      <c r="K39" s="55" t="n"/>
      <c r="L39" s="55" t="n"/>
      <c r="M39" s="55" t="n"/>
      <c r="N39" s="55" t="n"/>
      <c r="O39" s="55" t="n"/>
      <c r="P39" s="56" t="n"/>
      <c r="Q39" s="49" t="n"/>
    </row>
  </sheetData>
  <mergeCells count="85">
    <mergeCell ref="L33:N33"/>
    <mergeCell ref="D32:I32"/>
    <mergeCell ref="J10:K10"/>
    <mergeCell ref="J28:K28"/>
    <mergeCell ref="L35:N35"/>
    <mergeCell ref="D16:I16"/>
    <mergeCell ref="B1:P3"/>
    <mergeCell ref="D18:I18"/>
    <mergeCell ref="O32:P32"/>
    <mergeCell ref="O35:P35"/>
    <mergeCell ref="B9:P9"/>
    <mergeCell ref="D25:I25"/>
    <mergeCell ref="J12:K26"/>
    <mergeCell ref="H5:J5"/>
    <mergeCell ref="B36:P36"/>
    <mergeCell ref="K4:P4"/>
    <mergeCell ref="B37:F37"/>
    <mergeCell ref="L12:N26"/>
    <mergeCell ref="O27:P27"/>
    <mergeCell ref="D20:I20"/>
    <mergeCell ref="J31:K31"/>
    <mergeCell ref="G37:P37"/>
    <mergeCell ref="L32:N32"/>
    <mergeCell ref="D22:I22"/>
    <mergeCell ref="D31:I31"/>
    <mergeCell ref="C22:C24"/>
    <mergeCell ref="D21:I21"/>
    <mergeCell ref="N8:P8"/>
    <mergeCell ref="H7:J7"/>
    <mergeCell ref="F4:G8"/>
    <mergeCell ref="O12:P26"/>
    <mergeCell ref="L10:N10"/>
    <mergeCell ref="J34:K34"/>
    <mergeCell ref="O29:P29"/>
    <mergeCell ref="J27:K27"/>
    <mergeCell ref="L34:N34"/>
    <mergeCell ref="O31:P31"/>
    <mergeCell ref="D33:I33"/>
    <mergeCell ref="D35:I35"/>
    <mergeCell ref="D19:I19"/>
    <mergeCell ref="D34:I34"/>
    <mergeCell ref="L28:N28"/>
    <mergeCell ref="H4:J4"/>
    <mergeCell ref="H6:J6"/>
    <mergeCell ref="B11:P11"/>
    <mergeCell ref="J29:K29"/>
    <mergeCell ref="D13:I13"/>
    <mergeCell ref="O34:P34"/>
    <mergeCell ref="C17:C21"/>
    <mergeCell ref="O28:P28"/>
    <mergeCell ref="O30:P30"/>
    <mergeCell ref="B39:F39"/>
    <mergeCell ref="D15:I15"/>
    <mergeCell ref="J35:K35"/>
    <mergeCell ref="D24:I24"/>
    <mergeCell ref="K8:L8"/>
    <mergeCell ref="L27:N27"/>
    <mergeCell ref="K6:P6"/>
    <mergeCell ref="H8:J8"/>
    <mergeCell ref="D26:I26"/>
    <mergeCell ref="K7:L7"/>
    <mergeCell ref="C13:C16"/>
    <mergeCell ref="D10:I10"/>
    <mergeCell ref="K5:P5"/>
    <mergeCell ref="D27:I27"/>
    <mergeCell ref="O10:P10"/>
    <mergeCell ref="D17:I17"/>
    <mergeCell ref="L30:N30"/>
    <mergeCell ref="O33:P33"/>
    <mergeCell ref="L29:N29"/>
    <mergeCell ref="J30:K30"/>
    <mergeCell ref="D28:I28"/>
    <mergeCell ref="L31:N31"/>
    <mergeCell ref="B4:E8"/>
    <mergeCell ref="D12:I12"/>
    <mergeCell ref="D30:I30"/>
    <mergeCell ref="B38:F38"/>
    <mergeCell ref="D14:I14"/>
    <mergeCell ref="D29:I29"/>
    <mergeCell ref="G39:P39"/>
    <mergeCell ref="D23:I23"/>
    <mergeCell ref="J32:K32"/>
    <mergeCell ref="G38:P38"/>
    <mergeCell ref="N7:P7"/>
    <mergeCell ref="J33:K33"/>
  </mergeCells>
  <conditionalFormatting sqref="G37:Q39">
    <cfRule type="cellIs" priority="1" operator="equal" dxfId="0">
      <formula>0</formula>
    </cfRule>
  </conditionalFormatting>
  <conditionalFormatting sqref="L12:N35">
    <cfRule type="cellIs" priority="2" operator="equal" dxfId="1">
      <formula>0</formula>
    </cfRule>
  </conditionalFormatting>
  <printOptions horizontalCentered="1" gridLines="1"/>
  <pageMargins left="0.7" right="0.7" top="0.75" bottom="0.75" header="0" footer="0"/>
  <pageSetup orientation="portrait" paperSize="9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2026-03-17T06:55:01Z</dcterms:created>
  <dcterms:modified xsi:type="dcterms:W3CDTF">2026-03-23T04:37:04Z</dcterms:modified>
</cp:coreProperties>
</file>